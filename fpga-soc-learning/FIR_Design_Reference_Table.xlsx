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Embedded-System-Portfolio-Projects\fpga-soc-learning\"/>
    </mc:Choice>
  </mc:AlternateContent>
  <xr:revisionPtr revIDLastSave="0" documentId="13_ncr:1_{0F54E23E-E670-477C-8197-955BC32ED34F}" xr6:coauthVersionLast="47" xr6:coauthVersionMax="47" xr10:uidLastSave="{00000000-0000-0000-0000-000000000000}"/>
  <bookViews>
    <workbookView xWindow="-104" yWindow="-104" windowWidth="22326" windowHeight="11947" tabRatio="500" firstSheet="1" activeTab="3" xr2:uid="{00000000-000D-0000-FFFF-FFFF00000000}"/>
  </bookViews>
  <sheets>
    <sheet name="FIR Design Checklist" sheetId="1" r:id="rId1"/>
    <sheet name="Our FIR Design Values" sheetId="2" r:id="rId2"/>
    <sheet name="Window Type Reference" sheetId="3" r:id="rId3"/>
    <sheet name="Bit Width Calculator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9" i="4" l="1"/>
  <c r="C16" i="4"/>
  <c r="C15" i="4"/>
  <c r="C14" i="4"/>
  <c r="C13" i="4"/>
  <c r="C12" i="4"/>
</calcChain>
</file>

<file path=xl/sharedStrings.xml><?xml version="1.0" encoding="utf-8"?>
<sst xmlns="http://schemas.openxmlformats.org/spreadsheetml/2006/main" count="389" uniqueCount="337">
  <si>
    <t>FIR Filter — Industry Design Checklist &amp; Reference Table</t>
  </si>
  <si>
    <t>Use this table for every FIR filter design — fill in your values in the green columns</t>
  </si>
  <si>
    <t>#</t>
  </si>
  <si>
    <t>Parameter / Check</t>
  </si>
  <si>
    <t>What to Verify (Short)</t>
  </si>
  <si>
    <t>Formula / Tool</t>
  </si>
  <si>
    <t>Acceptable Range</t>
  </si>
  <si>
    <t>Your Value ✏️</t>
  </si>
  <si>
    <t>Status ✓/✗</t>
  </si>
  <si>
    <t xml:space="preserve">  PHASE 1 — SPECIFICATION</t>
  </si>
  <si>
    <t>1</t>
  </si>
  <si>
    <t>Sample Rate (Fs)</t>
  </si>
  <si>
    <t>Fs &gt;= 2 × max signal frequency</t>
  </si>
  <si>
    <t>Nyquist: Fs_min = 2 × Fmax</t>
  </si>
  <si>
    <t>Fs &gt; 2 × Fmax</t>
  </si>
  <si>
    <t>100 MHz</t>
  </si>
  <si>
    <t>2</t>
  </si>
  <si>
    <t>Passband Cutoff (Fpass)</t>
  </si>
  <si>
    <t>Frequency below which signal must pass</t>
  </si>
  <si>
    <t>Fpass &lt; Fs/2</t>
  </si>
  <si>
    <t>0 &lt; Fpass &lt; Fs/2</t>
  </si>
  <si>
    <t>10 MHz</t>
  </si>
  <si>
    <t>3</t>
  </si>
  <si>
    <t>Stopband Cutoff (Fstop)</t>
  </si>
  <si>
    <t>Frequency above which signal must be attenuated</t>
  </si>
  <si>
    <t>Fstop &gt; Fpass, Fstop &lt; Fs/2</t>
  </si>
  <si>
    <t>Fpass &lt; Fstop &lt; Fs/2</t>
  </si>
  <si>
    <t>20 MHz</t>
  </si>
  <si>
    <t>4</t>
  </si>
  <si>
    <t>Number of Taps (N)</t>
  </si>
  <si>
    <t>N ≈ (Atten_dB × Fs) / (22 × BW_transition)</t>
  </si>
  <si>
    <t>Estimate from attenuation + transition band</t>
  </si>
  <si>
    <t>N &gt;= 3, typically 8–128</t>
  </si>
  <si>
    <t>8 taps</t>
  </si>
  <si>
    <t>5</t>
  </si>
  <si>
    <t>Window Type</t>
  </si>
  <si>
    <t>Select based on required stopband attenuation</t>
  </si>
  <si>
    <t>See Window Reference Sheet</t>
  </si>
  <si>
    <t>See Sheet 3</t>
  </si>
  <si>
    <t>Hamming</t>
  </si>
  <si>
    <t>6</t>
  </si>
  <si>
    <t>Passband Ripple</t>
  </si>
  <si>
    <t>Max amplitude variation in passband</t>
  </si>
  <si>
    <t>Measure from freqz() plot</t>
  </si>
  <si>
    <t>&lt; 0.1 dB (audio) &lt; 1 dB (general)</t>
  </si>
  <si>
    <t>&lt; 0.1 dB</t>
  </si>
  <si>
    <t>7</t>
  </si>
  <si>
    <t>Stopband Attenuation</t>
  </si>
  <si>
    <t>How much unwanted freq is reduced</t>
  </si>
  <si>
    <t>Measure from freqz() at Fstop</t>
  </si>
  <si>
    <t>≥ 40 dB min, ≥ 80 dB medical</t>
  </si>
  <si>
    <t xml:space="preserve">  PHASE 2 — COEFFICIENT DESIGN</t>
  </si>
  <si>
    <t>8</t>
  </si>
  <si>
    <t>Quantization Error</t>
  </si>
  <si>
    <t>Max error from float → fixed-point conversion</t>
  </si>
  <si>
    <t>error = |h_float - h_fixed/scale|</t>
  </si>
  <si>
    <t>&lt; 1 LSB = 1/2^(COEF_BITS-1)</t>
  </si>
  <si>
    <t>9</t>
  </si>
  <si>
    <t>Coefficient Symmetry</t>
  </si>
  <si>
    <t>h[k] == h[N-1-k] for all k after rounding</t>
  </si>
  <si>
    <t>np.allclose(h_fixed, h_fixed[::-1])</t>
  </si>
  <si>
    <t>Must be True for linear phase</t>
  </si>
  <si>
    <t>True ✅</t>
  </si>
  <si>
    <t>10</t>
  </si>
  <si>
    <t>Coefficient Overflow</t>
  </si>
  <si>
    <t>All |h[k]| fit in COEF_WIDTH signed bits</t>
  </si>
  <si>
    <t>max(|h_fixed|) &lt; 2^(COEF_BITS-1)</t>
  </si>
  <si>
    <t>max &lt; 32767 for 16-bit</t>
  </si>
  <si>
    <t>11</t>
  </si>
  <si>
    <t>DC Gain</t>
  </si>
  <si>
    <t>Sum of coefficients = 1.0 (0dB DC gain)</t>
  </si>
  <si>
    <t>sum(h_fixed) / scale ≈ 1.0</t>
  </si>
  <si>
    <t>0.99 to 1.01</t>
  </si>
  <si>
    <t>32768/32768=1.0 ✅</t>
  </si>
  <si>
    <t>12</t>
  </si>
  <si>
    <t>Frequency Response Plot</t>
  </si>
  <si>
    <t>Plot and visually verify passband + stopband</t>
  </si>
  <si>
    <t>scipy.signal.freqz(h, fs=Fs)</t>
  </si>
  <si>
    <t>Flat passband, steep rolloff</t>
  </si>
  <si>
    <t>Verify in Python</t>
  </si>
  <si>
    <t xml:space="preserve">  PHASE 3 — HARDWARE DESIGN</t>
  </si>
  <si>
    <t>13</t>
  </si>
  <si>
    <t>Accumulator Width</t>
  </si>
  <si>
    <t>Bits needed to prevent overflow in sum</t>
  </si>
  <si>
    <t>ceil(log2(N × max_input × max_coef)) + 1</t>
  </si>
  <si>
    <t>&gt;= 33 bits (our case), use 40 bits</t>
  </si>
  <si>
    <t>14</t>
  </si>
  <si>
    <t>Truncation Point</t>
  </si>
  <si>
    <t>Which bits of accumulator to output</t>
  </si>
  <si>
    <t>Output bits [30:15] for Q1.15 × Q1.15</t>
  </si>
  <si>
    <t>Drop frac bits below output precision</t>
  </si>
  <si>
    <t>bits[30:15]</t>
  </si>
  <si>
    <t>15</t>
  </si>
  <si>
    <t>Saturation Arithmetic</t>
  </si>
  <si>
    <t>Clamp output to valid range, no wrap-around</t>
  </si>
  <si>
    <t>if acc &gt; max → max, if acc &lt; min → min</t>
  </si>
  <si>
    <t>Must be implemented</t>
  </si>
  <si>
    <t>Implemented ✅</t>
  </si>
  <si>
    <t>16</t>
  </si>
  <si>
    <t>Timing — WNS</t>
  </si>
  <si>
    <t>Worst Negative Slack must be positive</t>
  </si>
  <si>
    <t>Vivado: Tools → Timing Report → WNS</t>
  </si>
  <si>
    <t>WNS &gt;= 0 ns</t>
  </si>
  <si>
    <t>Check Vivado</t>
  </si>
  <si>
    <t>17</t>
  </si>
  <si>
    <t>DSP48 Mapping</t>
  </si>
  <si>
    <t>Multipliers must use DSP48, not LUTs</t>
  </si>
  <si>
    <t>Vivado: Report Utilization → DSP column</t>
  </si>
  <si>
    <t>N DSP48 used (not in LUT section)</t>
  </si>
  <si>
    <t>18</t>
  </si>
  <si>
    <t>Symmetric Optimization</t>
  </si>
  <si>
    <t>Pair symmetric taps to halve DSP48 count</t>
  </si>
  <si>
    <t>Pre-add x[n]+x[n-N+1] then × h[0]</t>
  </si>
  <si>
    <t>N/2 DSP48 blocks (vs N without)</t>
  </si>
  <si>
    <t>19</t>
  </si>
  <si>
    <t>Pipeline Latency</t>
  </si>
  <si>
    <t>Clock cycles from input to valid output</t>
  </si>
  <si>
    <t>Count pipeline stages in RTL</t>
  </si>
  <si>
    <t>Document for system integration</t>
  </si>
  <si>
    <t>2 clock cycles</t>
  </si>
  <si>
    <t>20</t>
  </si>
  <si>
    <t>AXI4-Stream Interface</t>
  </si>
  <si>
    <t>Use tvalid/tready/tdata for system integration</t>
  </si>
  <si>
    <t>s_axis_tvalid, s_axis_tready, s_axis_tdata</t>
  </si>
  <si>
    <t>Industry standard interface</t>
  </si>
  <si>
    <t>Implemented</t>
  </si>
  <si>
    <t xml:space="preserve">  PHASE 4 — VERIFICATION</t>
  </si>
  <si>
    <t>21</t>
  </si>
  <si>
    <t>Golden Reference Match</t>
  </si>
  <si>
    <t>VHDL output matches Python float model</t>
  </si>
  <si>
    <t>Compare sample by sample, measure SNR</t>
  </si>
  <si>
    <t>SNR &gt; 90 dB (16-bit system)</t>
  </si>
  <si>
    <t>&gt; 90 dB</t>
  </si>
  <si>
    <t>22</t>
  </si>
  <si>
    <t>Frequency Sweep Test</t>
  </si>
  <si>
    <t>Verify filter response at multiple frequencies</t>
  </si>
  <si>
    <t>Input sine at F, measure output amplitude</t>
  </si>
  <si>
    <t>Pass: 0dB in passband, -40dB in stopband</t>
  </si>
  <si>
    <t>Verify in sim</t>
  </si>
  <si>
    <t>23</t>
  </si>
  <si>
    <t>Corner Cases</t>
  </si>
  <si>
    <t>Test edge cases: zeros, max, step, alternating</t>
  </si>
  <si>
    <t>All zeros→zero out, max in→no overflow</t>
  </si>
  <si>
    <t>No overflow, no saturation errors</t>
  </si>
  <si>
    <t>All pass</t>
  </si>
  <si>
    <t>24</t>
  </si>
  <si>
    <t>Power Analysis</t>
  </si>
  <si>
    <t>Measure dynamic + static power consumption</t>
  </si>
  <si>
    <t>Vivado: Tools → Report Power</t>
  </si>
  <si>
    <t>Within system power budget</t>
  </si>
  <si>
    <t>25</t>
  </si>
  <si>
    <t>Resource Utilization</t>
  </si>
  <si>
    <t>LUTs, FFs, DSP48, BRAM usage documented</t>
  </si>
  <si>
    <t>Vivado: Tools → Report Utilization</t>
  </si>
  <si>
    <t>DSP48 used for multiply, minimal LUTs</t>
  </si>
  <si>
    <t>Document all</t>
  </si>
  <si>
    <t>✏️ Fill in 'Your Value' column as you design. Mark Status ✓ when verified, ✗ if failed.</t>
  </si>
  <si>
    <t>Our FIR Filter — Measured &amp; Verified Values</t>
  </si>
  <si>
    <t>8-tap Low-Pass FIR | Hamming Window | Q1.15 Fixed-Point | 100MHz | PYNQ-Z2</t>
  </si>
  <si>
    <t>Parameter</t>
  </si>
  <si>
    <t>Value We Measured / Used</t>
  </si>
  <si>
    <t>Interpretation</t>
  </si>
  <si>
    <t xml:space="preserve">  SPECIFICATION</t>
  </si>
  <si>
    <t>PYNQ-Z2 system clock = 100MHz → 100M samples/sec</t>
  </si>
  <si>
    <t>Passband Cutoff</t>
  </si>
  <si>
    <t>All signals below 10MHz pass through with &lt; 0.1dB change</t>
  </si>
  <si>
    <t>Stopband Cutoff</t>
  </si>
  <si>
    <t>All signals above 20MHz attenuated by &gt;41dB</t>
  </si>
  <si>
    <t>Number of Taps</t>
  </si>
  <si>
    <t>Simple for learning — industry uses 32-256 taps</t>
  </si>
  <si>
    <t>~41dB stopband attenuation — good for general use</t>
  </si>
  <si>
    <t>Signal amplitude varies &lt; 0.1dB in passband</t>
  </si>
  <si>
    <t>41 dB</t>
  </si>
  <si>
    <t>Noise above 20MHz reduced to 1/112 of original</t>
  </si>
  <si>
    <t xml:space="preserve">  COEFFICIENTS</t>
  </si>
  <si>
    <t>Floating-Point h[0..7]</t>
  </si>
  <si>
    <t>0.0088, 0.0479, 0.1640, 0.2793, 0.2793, 0.1640, 0.0479, 0.0088</t>
  </si>
  <si>
    <t>Bell-shaped → confirms Hamming window applied correctly</t>
  </si>
  <si>
    <t>Fixed-Point Scale</t>
  </si>
  <si>
    <t>Q1.15 → scale = 32768</t>
  </si>
  <si>
    <t>1 sign bit + 15 fractional bits → range -1.0 to +0.99997</t>
  </si>
  <si>
    <t>Fixed-Point h[0..7]</t>
  </si>
  <si>
    <t>287, 1571, 5375, 9151, 9151, 5375, 1571, 287</t>
  </si>
  <si>
    <t>Integers stored in 16-bit signed registers in VHDL</t>
  </si>
  <si>
    <t>Max Quantization Error</t>
  </si>
  <si>
    <t>7.59e-06</t>
  </si>
  <si>
    <t>Much less than 1 LSB (3.05e-05) → excellent quantization</t>
  </si>
  <si>
    <t>Symmetry After Quantization</t>
  </si>
  <si>
    <t>True</t>
  </si>
  <si>
    <t>Linear phase preserved → no phase distortion in output</t>
  </si>
  <si>
    <t>False — max=9151 &lt; 32767</t>
  </si>
  <si>
    <t>9151 uses only 28% of 16-bit range → safe headroom</t>
  </si>
  <si>
    <t>DC Gain Check</t>
  </si>
  <si>
    <t>Sum = 32768 / 32768 = 1.000</t>
  </si>
  <si>
    <t>DC passes with exactly 0dB gain → correct low-pass behavior</t>
  </si>
  <si>
    <t xml:space="preserve">  HARDWARE PARAMETERS</t>
  </si>
  <si>
    <t>Data Width</t>
  </si>
  <si>
    <t>16-bit signed (Q1.15)</t>
  </si>
  <si>
    <t>Input samples range: -32768 to +32767</t>
  </si>
  <si>
    <t>Coefficient Width</t>
  </si>
  <si>
    <t>Coefficients range: -32768 to +32767</t>
  </si>
  <si>
    <t>Product Width</t>
  </si>
  <si>
    <t>32-bit signed</t>
  </si>
  <si>
    <t>16×16 multiply = 32-bit result (no overflow in product)</t>
  </si>
  <si>
    <t>40-bit signed</t>
  </si>
  <si>
    <t>Min required=33 bits, using 40 → 7 bits extra headroom</t>
  </si>
  <si>
    <t>Max Single Product</t>
  </si>
  <si>
    <t>32767 × 9151 = 299,847,617</t>
  </si>
  <si>
    <t>Fits in 29 bits → safely within 32-bit product register</t>
  </si>
  <si>
    <t>Max Accumulator Value</t>
  </si>
  <si>
    <t>8 × 299,847,617 = 2,398,780,936</t>
  </si>
  <si>
    <t>Fits in 32 bits → safely within 40-bit accumulator</t>
  </si>
  <si>
    <t>Output Width</t>
  </si>
  <si>
    <t>16-bit signed</t>
  </si>
  <si>
    <t>Taken from accumulator bits [30:15] after saturation check</t>
  </si>
  <si>
    <t>Pipeline Stages</t>
  </si>
  <si>
    <t>2 clock cycles latency</t>
  </si>
  <si>
    <t>Stage 1: multiply all taps | Stage 2: sum all products</t>
  </si>
  <si>
    <t>DSP48 Usage</t>
  </si>
  <si>
    <t>8 blocks (4 with symmetry optimization)</t>
  </si>
  <si>
    <t>Each tap needs 1 DSP48 for 18×27 multiply-accumulate</t>
  </si>
  <si>
    <t>Target Clock</t>
  </si>
  <si>
    <t>Critical path: DSP48(2ns)+adder tree(3ns)=5ns → 200MHz capable</t>
  </si>
  <si>
    <t>FIR Window Type Reference — Choose Based on Your Specification</t>
  </si>
  <si>
    <t>Rule: More attenuation needed → use lower window in table | More taps = sharper transition</t>
  </si>
  <si>
    <t>Window</t>
  </si>
  <si>
    <t>Stopband
Attenuation</t>
  </si>
  <si>
    <t>Transition
Width</t>
  </si>
  <si>
    <t>Passband
Ripple</t>
  </si>
  <si>
    <t>Best Use Case</t>
  </si>
  <si>
    <t>scipy Function</t>
  </si>
  <si>
    <t>Rectangular</t>
  </si>
  <si>
    <t>21 dB</t>
  </si>
  <si>
    <t>Narrowest</t>
  </si>
  <si>
    <t>±0.09 dB</t>
  </si>
  <si>
    <t>Never use — high ripple causes spectral leakage</t>
  </si>
  <si>
    <t>signal.firwin(..., window='boxcar')</t>
  </si>
  <si>
    <t>Hanning</t>
  </si>
  <si>
    <t>44 dB</t>
  </si>
  <si>
    <t>Medium</t>
  </si>
  <si>
    <t>±0.06 dB</t>
  </si>
  <si>
    <t>General purpose audio, moderate noise rejection</t>
  </si>
  <si>
    <t>signal.firwin(..., window='hann')</t>
  </si>
  <si>
    <t>Hamming ★</t>
  </si>
  <si>
    <t>±0.02 dB</t>
  </si>
  <si>
    <t>Audio, sensors, communication — our choice</t>
  </si>
  <si>
    <t>signal.firwin(..., window='hamming')</t>
  </si>
  <si>
    <t>Bartlett</t>
  </si>
  <si>
    <t>27 dB</t>
  </si>
  <si>
    <t>Triangular window — rarely used in practice</t>
  </si>
  <si>
    <t>signal.firwin(..., window='bartlett')</t>
  </si>
  <si>
    <t>Blackman</t>
  </si>
  <si>
    <t>74 dB</t>
  </si>
  <si>
    <t>Wide</t>
  </si>
  <si>
    <t>High performance audio, medical (ECG, EEG)</t>
  </si>
  <si>
    <t>signal.firwin(..., window='blackman')</t>
  </si>
  <si>
    <t>Blackman-Harris</t>
  </si>
  <si>
    <t>92 dB</t>
  </si>
  <si>
    <t>Widest</t>
  </si>
  <si>
    <t>Spectrum analysis, very high rejection needed</t>
  </si>
  <si>
    <t>signal.firwin(..., window='blackmanharris')</t>
  </si>
  <si>
    <t>Kaiser (β=4)</t>
  </si>
  <si>
    <t>40 dB</t>
  </si>
  <si>
    <t>Adjustable</t>
  </si>
  <si>
    <t>Industry standard — fully configurable</t>
  </si>
  <si>
    <t>signal.firwin(..., window=('kaiser',4.0))</t>
  </si>
  <si>
    <t>Kaiser (β=8)</t>
  </si>
  <si>
    <t>80 dB</t>
  </si>
  <si>
    <t>Medical devices, precision instruments</t>
  </si>
  <si>
    <t>signal.firwin(..., window=('kaiser',8.0))</t>
  </si>
  <si>
    <t>Kaiser (β=14)</t>
  </si>
  <si>
    <t>120 dB</t>
  </si>
  <si>
    <t>Defense, radar — maximum attenuation</t>
  </si>
  <si>
    <t>signal.firwin(..., window=('kaiser',14.0))</t>
  </si>
  <si>
    <t>Flat Top</t>
  </si>
  <si>
    <t>93 dB</t>
  </si>
  <si>
    <t>±0.01 dB</t>
  </si>
  <si>
    <t>Amplitude measurement only — not for filtering</t>
  </si>
  <si>
    <t>signal.firwin(..., window='flattop')</t>
  </si>
  <si>
    <t xml:space="preserve">  QUICK DECISION GUIDE</t>
  </si>
  <si>
    <t>Need &lt; 40dB attenuation?</t>
  </si>
  <si>
    <t>→ Hanning or Hamming</t>
  </si>
  <si>
    <t>Need 40-50dB attenuation?</t>
  </si>
  <si>
    <t>→ Hamming ★ (our choice)</t>
  </si>
  <si>
    <t>Need 60-80dB attenuation?</t>
  </si>
  <si>
    <t>→ Blackman</t>
  </si>
  <si>
    <t>Need &gt; 80dB attenuation?</t>
  </si>
  <si>
    <t>→ Kaiser (β=8 to 14)</t>
  </si>
  <si>
    <t>Don't know? Start here:</t>
  </si>
  <si>
    <t>→ Kaiser (adjustable β)</t>
  </si>
  <si>
    <t>Audio / speech processing:</t>
  </si>
  <si>
    <t>→ Hamming or Hanning</t>
  </si>
  <si>
    <t>Medical (ECG/EEG):</t>
  </si>
  <si>
    <t>→ Blackman or Kaiser β=8</t>
  </si>
  <si>
    <t>Radar / defense:</t>
  </si>
  <si>
    <t>→ Kaiser β=14 or Blackman-Harris</t>
  </si>
  <si>
    <t>FIR Filter — Bit Width &amp; Overflow Calculator</t>
  </si>
  <si>
    <t>Change the INPUT VALUES (yellow cells) — all calculations update automatically</t>
  </si>
  <si>
    <t xml:space="preserve">  INPUT VALUES — Edit These</t>
  </si>
  <si>
    <t>Data Width (bits)</t>
  </si>
  <si>
    <t>DATA_BITS</t>
  </si>
  <si>
    <t>Coefficient Width (bits)</t>
  </si>
  <si>
    <t>COEF_BITS</t>
  </si>
  <si>
    <t>N_TAPS</t>
  </si>
  <si>
    <t>Max Input Value</t>
  </si>
  <si>
    <t>2 to the power (DATA_BITS minus 1) minus 1</t>
  </si>
  <si>
    <t>Max Coefficient Value</t>
  </si>
  <si>
    <t>From Python coefficient generator</t>
  </si>
  <si>
    <t xml:space="preserve">  CALCULATED VALUES — Auto-computed</t>
  </si>
  <si>
    <t>max_input x max_coef</t>
  </si>
  <si>
    <t>Bits for Max Product</t>
  </si>
  <si>
    <t>floor(log2(max_product)) + 1 sign bit</t>
  </si>
  <si>
    <t>N_taps x max_product (worst case)</t>
  </si>
  <si>
    <t>Bits for Accumulator (min)</t>
  </si>
  <si>
    <t>floor(log2(max_accum)) + 1 sign bit</t>
  </si>
  <si>
    <t>Recommended Accumulator Bits</t>
  </si>
  <si>
    <t>min bits + 7 extra headroom</t>
  </si>
  <si>
    <t>Product Fixed-Point Format</t>
  </si>
  <si>
    <t>Q2.30 (for 16×16 input)</t>
  </si>
  <si>
    <t>16-bit x 16-bit = 32-bit product</t>
  </si>
  <si>
    <t>Output Truncation: Take bits</t>
  </si>
  <si>
    <t>bits[30:15] of accumulator</t>
  </si>
  <si>
    <t>Drop bottom 15 fractional bits</t>
  </si>
  <si>
    <t>SNR (theoretical dB)</t>
  </si>
  <si>
    <t>Theoretical SNR in dB (6.02 per bit rule)</t>
  </si>
  <si>
    <t>1000 Hz</t>
  </si>
  <si>
    <t>40 Hz</t>
  </si>
  <si>
    <t>45 Hz</t>
  </si>
  <si>
    <t>65 taps</t>
  </si>
  <si>
    <t>Kaiser β=8</t>
  </si>
  <si>
    <t>&lt; 0.01 dB</t>
  </si>
  <si>
    <t>1.52e-05 ✅</t>
  </si>
  <si>
    <t>✓</t>
  </si>
  <si>
    <t>7958 &lt; 32767 ✅</t>
  </si>
  <si>
    <t>42 bits ✅</t>
  </si>
  <si>
    <t>32 DSP48</t>
  </si>
  <si>
    <t>16 DSP48 optimized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</si>
</sst>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2E75B6"/>
      <name val="Arial"/>
      <charset val="1"/>
    </font>
    <font>
      <b/>
      <sz val="10"/>
      <color rgb="FF1A1A1A"/>
      <name val="Arial"/>
      <charset val="1"/>
    </font>
    <font>
      <sz val="9"/>
      <color rgb="FF1A1A1A"/>
      <name val="Arial"/>
      <charset val="1"/>
    </font>
    <font>
      <i/>
      <sz val="9"/>
      <color rgb="FF444444"/>
      <name val="Arial"/>
      <charset val="1"/>
    </font>
    <font>
      <sz val="9"/>
      <color rgb="FF1E4620"/>
      <name val="Arial"/>
      <charset val="1"/>
    </font>
    <font>
      <b/>
      <sz val="10"/>
      <color rgb="FF1E4620"/>
      <name val="Arial"/>
      <charset val="1"/>
    </font>
    <font>
      <b/>
      <sz val="11"/>
      <color rgb="FF1A1A1A"/>
      <name val="Arial"/>
      <charset val="1"/>
    </font>
    <font>
      <i/>
      <sz val="9"/>
      <color rgb="FF666666"/>
      <name val="Arial"/>
      <charset val="1"/>
    </font>
    <font>
      <sz val="9"/>
      <color rgb="FF444444"/>
      <name val="Arial"/>
      <charset val="1"/>
    </font>
    <font>
      <sz val="10"/>
      <color rgb="FF1A1A1A"/>
      <name val="Arial"/>
      <charset val="1"/>
    </font>
    <font>
      <b/>
      <sz val="11"/>
      <color rgb="FFC00000"/>
      <name val="Arial"/>
      <charset val="1"/>
    </font>
    <font>
      <i/>
      <sz val="8"/>
      <color rgb="FF444444"/>
      <name val="Arial"/>
      <charset val="1"/>
    </font>
    <font>
      <b/>
      <sz val="11"/>
      <color rgb="FFC55A11"/>
      <name val="Arial"/>
      <charset val="1"/>
    </font>
    <font>
      <b/>
      <sz val="11"/>
      <color rgb="FF1E4620"/>
      <name val="Arial"/>
      <charset val="1"/>
    </font>
    <font>
      <b/>
      <sz val="10"/>
      <color rgb="FF1F3864"/>
      <name val="Arial"/>
      <charset val="1"/>
    </font>
    <font>
      <b/>
      <sz val="11"/>
      <color rgb="FF2E75B6"/>
      <name val="Arial"/>
      <charset val="1"/>
    </font>
    <font>
      <b/>
      <sz val="10"/>
      <color rgb="FF1E462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1A5276"/>
      </patternFill>
    </fill>
    <fill>
      <patternFill patternType="solid">
        <fgColor rgb="FF2E75B6"/>
        <bgColor rgb="FF0066CC"/>
      </patternFill>
    </fill>
    <fill>
      <patternFill patternType="solid">
        <fgColor rgb="FF1E4620"/>
        <bgColor rgb="FF375623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2F2F2"/>
      </patternFill>
    </fill>
    <fill>
      <patternFill patternType="solid">
        <fgColor rgb="FF1A5276"/>
        <bgColor rgb="FF1F3864"/>
      </patternFill>
    </fill>
    <fill>
      <patternFill patternType="solid">
        <fgColor rgb="FF375623"/>
        <bgColor rgb="FF1E4620"/>
      </patternFill>
    </fill>
    <fill>
      <patternFill patternType="solid">
        <fgColor rgb="FFFFE0E0"/>
        <bgColor rgb="FFFCE4D6"/>
      </patternFill>
    </fill>
    <fill>
      <patternFill patternType="solid">
        <fgColor rgb="FFEAD7F7"/>
        <bgColor rgb="FFD6E4F0"/>
      </patternFill>
    </fill>
    <fill>
      <patternFill patternType="solid">
        <fgColor rgb="FFFCE4D6"/>
        <bgColor rgb="FFFFE0E0"/>
      </patternFill>
    </fill>
    <fill>
      <patternFill patternType="solid">
        <fgColor rgb="FFFFFF00"/>
        <bgColor rgb="FFFFFF00"/>
      </patternFill>
    </fill>
    <fill>
      <patternFill patternType="solid">
        <fgColor rgb="FFD6E4F0"/>
        <bgColor rgb="FFE2EFDA"/>
      </patternFill>
    </fill>
  </fills>
  <borders count="10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375623"/>
      </left>
      <right style="medium">
        <color rgb="FF375623"/>
      </right>
      <top style="medium">
        <color rgb="FF375623"/>
      </top>
      <bottom style="medium">
        <color rgb="FF375623"/>
      </bottom>
      <diagonal/>
    </border>
    <border>
      <left style="medium">
        <color rgb="FFC9A227"/>
      </left>
      <right style="medium">
        <color rgb="FFC9A227"/>
      </right>
      <top style="medium">
        <color rgb="FFC9A227"/>
      </top>
      <bottom style="medium">
        <color rgb="FFC9A22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4" fillId="6" borderId="8" xfId="0" applyFont="1" applyFill="1" applyBorder="1" applyAlignment="1">
      <alignment horizontal="left" vertical="center" wrapText="1"/>
    </xf>
    <xf numFmtId="0" fontId="19" fillId="8" borderId="8" xfId="0" applyFont="1" applyFill="1" applyBorder="1" applyAlignment="1">
      <alignment horizontal="left" vertical="center" wrapText="1"/>
    </xf>
    <xf numFmtId="0" fontId="14" fillId="8" borderId="8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9" borderId="7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2" borderId="0" xfId="0" applyFill="1"/>
    <xf numFmtId="0" fontId="0" fillId="5" borderId="0" xfId="0" applyFill="1"/>
    <xf numFmtId="0" fontId="5" fillId="5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1" fillId="7" borderId="5" xfId="0" applyFont="1" applyFill="1" applyBorder="1" applyAlignment="1">
      <alignment horizontal="center" vertical="center" wrapText="1"/>
    </xf>
    <xf numFmtId="0" fontId="0" fillId="8" borderId="0" xfId="0" applyFill="1"/>
    <xf numFmtId="0" fontId="5" fillId="8" borderId="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0" fillId="3" borderId="0" xfId="0" applyFill="1"/>
    <xf numFmtId="0" fontId="0" fillId="9" borderId="0" xfId="0" applyFill="1"/>
    <xf numFmtId="0" fontId="0" fillId="10" borderId="0" xfId="0" applyFill="1"/>
    <xf numFmtId="0" fontId="3" fillId="2" borderId="6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left" vertical="center" wrapText="1"/>
    </xf>
    <xf numFmtId="0" fontId="13" fillId="8" borderId="3" xfId="0" applyFont="1" applyFill="1" applyBorder="1" applyAlignment="1">
      <alignment horizontal="left" vertical="center" wrapText="1"/>
    </xf>
    <xf numFmtId="0" fontId="0" fillId="11" borderId="0" xfId="0" applyFill="1"/>
    <xf numFmtId="0" fontId="14" fillId="11" borderId="3" xfId="0" applyFont="1" applyFill="1" applyBorder="1" applyAlignment="1">
      <alignment horizontal="center" vertical="center" wrapText="1"/>
    </xf>
    <xf numFmtId="0" fontId="15" fillId="11" borderId="3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left" vertical="center" wrapText="1"/>
    </xf>
    <xf numFmtId="0" fontId="16" fillId="11" borderId="3" xfId="0" applyFont="1" applyFill="1" applyBorder="1" applyAlignment="1">
      <alignment horizontal="left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6" fillId="8" borderId="3" xfId="0" applyFont="1" applyFill="1" applyBorder="1" applyAlignment="1">
      <alignment horizontal="left" vertical="center" wrapText="1"/>
    </xf>
    <xf numFmtId="0" fontId="0" fillId="6" borderId="0" xfId="0" applyFill="1"/>
    <xf numFmtId="0" fontId="6" fillId="6" borderId="3" xfId="0" applyFont="1" applyFill="1" applyBorder="1" applyAlignment="1">
      <alignment horizontal="center" vertical="center" wrapText="1"/>
    </xf>
    <xf numFmtId="0" fontId="17" fillId="6" borderId="3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left" vertical="center" wrapText="1"/>
    </xf>
    <xf numFmtId="0" fontId="16" fillId="6" borderId="3" xfId="0" applyFont="1" applyFill="1" applyBorder="1" applyAlignment="1">
      <alignment horizontal="left" vertical="center" wrapText="1"/>
    </xf>
    <xf numFmtId="0" fontId="15" fillId="8" borderId="3" xfId="0" applyFont="1" applyFill="1" applyBorder="1" applyAlignment="1">
      <alignment horizontal="center" vertical="center" wrapText="1"/>
    </xf>
    <xf numFmtId="0" fontId="0" fillId="7" borderId="0" xfId="0" applyFill="1"/>
    <xf numFmtId="0" fontId="14" fillId="7" borderId="3" xfId="0" applyFont="1" applyFill="1" applyBorder="1" applyAlignment="1">
      <alignment horizontal="center" vertical="center" wrapText="1"/>
    </xf>
    <xf numFmtId="0" fontId="18" fillId="7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left" vertical="center" wrapText="1"/>
    </xf>
    <xf numFmtId="0" fontId="16" fillId="7" borderId="3" xfId="0" applyFont="1" applyFill="1" applyBorder="1" applyAlignment="1">
      <alignment horizontal="left" vertical="center" wrapText="1"/>
    </xf>
    <xf numFmtId="0" fontId="0" fillId="12" borderId="0" xfId="0" applyFill="1"/>
    <xf numFmtId="0" fontId="14" fillId="12" borderId="3" xfId="0" applyFont="1" applyFill="1" applyBorder="1" applyAlignment="1">
      <alignment horizontal="center" vertical="center" wrapText="1"/>
    </xf>
    <xf numFmtId="0" fontId="18" fillId="12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left" vertical="center" wrapText="1"/>
    </xf>
    <xf numFmtId="0" fontId="16" fillId="12" borderId="3" xfId="0" applyFont="1" applyFill="1" applyBorder="1" applyAlignment="1">
      <alignment horizontal="left" vertical="center" wrapText="1"/>
    </xf>
    <xf numFmtId="0" fontId="0" fillId="13" borderId="0" xfId="0" applyFill="1"/>
    <xf numFmtId="0" fontId="14" fillId="13" borderId="3" xfId="0" applyFont="1" applyFill="1" applyBorder="1" applyAlignment="1">
      <alignment horizontal="center" vertical="center" wrapText="1"/>
    </xf>
    <xf numFmtId="0" fontId="18" fillId="13" borderId="3" xfId="0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left" vertical="center" wrapText="1"/>
    </xf>
    <xf numFmtId="0" fontId="16" fillId="13" borderId="3" xfId="0" applyFont="1" applyFill="1" applyBorder="1" applyAlignment="1">
      <alignment horizontal="left" vertical="center" wrapText="1"/>
    </xf>
    <xf numFmtId="0" fontId="11" fillId="14" borderId="5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left" vertical="center" wrapText="1"/>
    </xf>
    <xf numFmtId="0" fontId="20" fillId="15" borderId="9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left" vertical="center" wrapText="1"/>
    </xf>
    <xf numFmtId="0" fontId="19" fillId="6" borderId="8" xfId="0" applyFont="1" applyFill="1" applyBorder="1" applyAlignment="1">
      <alignment horizontal="left" vertical="center" wrapText="1"/>
    </xf>
    <xf numFmtId="0" fontId="14" fillId="7" borderId="8" xfId="0" applyFont="1" applyFill="1" applyBorder="1" applyAlignment="1">
      <alignment horizontal="left" vertical="center" wrapText="1"/>
    </xf>
    <xf numFmtId="0" fontId="19" fillId="7" borderId="8" xfId="0" applyFont="1" applyFill="1" applyBorder="1" applyAlignment="1">
      <alignment horizontal="left" vertical="center" wrapText="1"/>
    </xf>
    <xf numFmtId="0" fontId="14" fillId="12" borderId="8" xfId="0" applyFont="1" applyFill="1" applyBorder="1" applyAlignment="1">
      <alignment horizontal="left" vertical="center" wrapText="1"/>
    </xf>
    <xf numFmtId="0" fontId="19" fillId="12" borderId="8" xfId="0" applyFont="1" applyFill="1" applyBorder="1" applyAlignment="1">
      <alignment horizontal="left" vertical="center" wrapText="1"/>
    </xf>
    <xf numFmtId="0" fontId="14" fillId="13" borderId="8" xfId="0" applyFont="1" applyFill="1" applyBorder="1" applyAlignment="1">
      <alignment horizontal="left" vertical="center" wrapText="1"/>
    </xf>
    <xf numFmtId="0" fontId="19" fillId="13" borderId="8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21" fillId="6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375623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6E4F0"/>
      <rgbColor rgb="FF660066"/>
      <rgbColor rgb="FFFF8080"/>
      <rgbColor rgb="FF0066CC"/>
      <rgbColor rgb="FFEAD7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0E0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C9A227"/>
      <rgbColor rgb="FFC55A11"/>
      <rgbColor rgb="FF666666"/>
      <rgbColor rgb="FF999999"/>
      <rgbColor rgb="FF1F3864"/>
      <rgbColor rgb="FF339966"/>
      <rgbColor rgb="FF1A1A1A"/>
      <rgbColor rgb="FF1E4620"/>
      <rgbColor rgb="FF993300"/>
      <rgbColor rgb="FF993366"/>
      <rgbColor rgb="FF1A5276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showGridLines="0" topLeftCell="A23" zoomScale="117" zoomScaleNormal="100" workbookViewId="0">
      <selection activeCell="G28" sqref="G28"/>
    </sheetView>
  </sheetViews>
  <sheetFormatPr defaultColWidth="8.69921875" defaultRowHeight="14.4" x14ac:dyDescent="0.3"/>
  <cols>
    <col min="1" max="1" width="3" customWidth="1"/>
    <col min="2" max="2" width="6" customWidth="1"/>
    <col min="3" max="3" width="28" customWidth="1"/>
    <col min="4" max="4" width="22" customWidth="1"/>
    <col min="5" max="7" width="18" customWidth="1"/>
    <col min="8" max="8" width="16" customWidth="1"/>
    <col min="9" max="9" width="3" customWidth="1"/>
  </cols>
  <sheetData>
    <row r="1" spans="1:9" ht="37.450000000000003" customHeight="1" x14ac:dyDescent="0.3">
      <c r="B1" s="14" t="s">
        <v>0</v>
      </c>
      <c r="C1" s="14"/>
      <c r="D1" s="14"/>
      <c r="E1" s="14"/>
      <c r="F1" s="14"/>
      <c r="G1" s="14"/>
      <c r="H1" s="14"/>
    </row>
    <row r="2" spans="1:9" ht="18" customHeight="1" x14ac:dyDescent="0.3">
      <c r="B2" s="13" t="s">
        <v>1</v>
      </c>
      <c r="C2" s="13"/>
      <c r="D2" s="13"/>
      <c r="E2" s="13"/>
      <c r="F2" s="13"/>
      <c r="G2" s="13"/>
      <c r="H2" s="13"/>
    </row>
    <row r="3" spans="1:9" ht="7.5" customHeight="1" x14ac:dyDescent="0.3"/>
    <row r="4" spans="1:9" ht="36" customHeight="1" x14ac:dyDescent="0.3">
      <c r="A4" s="15"/>
      <c r="B4" s="15" t="s">
        <v>2</v>
      </c>
      <c r="C4" s="15" t="s">
        <v>3</v>
      </c>
      <c r="D4" s="16" t="s">
        <v>4</v>
      </c>
      <c r="E4" s="16" t="s">
        <v>5</v>
      </c>
      <c r="F4" s="16" t="s">
        <v>6</v>
      </c>
      <c r="G4" s="17" t="s">
        <v>7</v>
      </c>
      <c r="H4" s="15" t="s">
        <v>8</v>
      </c>
      <c r="I4" s="15"/>
    </row>
    <row r="5" spans="1:9" ht="21.75" customHeight="1" x14ac:dyDescent="0.3">
      <c r="A5" s="18"/>
      <c r="B5" s="12" t="s">
        <v>9</v>
      </c>
      <c r="C5" s="12"/>
      <c r="D5" s="12"/>
      <c r="E5" s="12"/>
      <c r="F5" s="12"/>
      <c r="G5" s="12"/>
      <c r="H5" s="12"/>
      <c r="I5" s="18"/>
    </row>
    <row r="6" spans="1:9" ht="31.55" customHeight="1" x14ac:dyDescent="0.3">
      <c r="A6" s="19"/>
      <c r="B6" s="20" t="s">
        <v>10</v>
      </c>
      <c r="C6" s="21" t="s">
        <v>11</v>
      </c>
      <c r="D6" s="22" t="s">
        <v>12</v>
      </c>
      <c r="E6" s="23" t="s">
        <v>13</v>
      </c>
      <c r="F6" s="24" t="s">
        <v>14</v>
      </c>
      <c r="G6" s="25" t="s">
        <v>325</v>
      </c>
      <c r="H6" s="26" t="s">
        <v>332</v>
      </c>
      <c r="I6" s="19"/>
    </row>
    <row r="7" spans="1:9" ht="31.55" customHeight="1" x14ac:dyDescent="0.3">
      <c r="A7" s="27"/>
      <c r="B7" s="28" t="s">
        <v>16</v>
      </c>
      <c r="C7" s="29" t="s">
        <v>17</v>
      </c>
      <c r="D7" s="30" t="s">
        <v>18</v>
      </c>
      <c r="E7" s="31" t="s">
        <v>19</v>
      </c>
      <c r="F7" s="24" t="s">
        <v>20</v>
      </c>
      <c r="G7" s="25" t="s">
        <v>326</v>
      </c>
      <c r="H7" s="26"/>
      <c r="I7" s="27"/>
    </row>
    <row r="8" spans="1:9" ht="31.55" customHeight="1" x14ac:dyDescent="0.3">
      <c r="A8" s="19"/>
      <c r="B8" s="20" t="s">
        <v>22</v>
      </c>
      <c r="C8" s="21" t="s">
        <v>23</v>
      </c>
      <c r="D8" s="22" t="s">
        <v>24</v>
      </c>
      <c r="E8" s="23" t="s">
        <v>25</v>
      </c>
      <c r="F8" s="24" t="s">
        <v>26</v>
      </c>
      <c r="G8" s="25" t="s">
        <v>327</v>
      </c>
      <c r="H8" s="26"/>
      <c r="I8" s="19"/>
    </row>
    <row r="9" spans="1:9" ht="31.55" customHeight="1" x14ac:dyDescent="0.3">
      <c r="A9" s="27"/>
      <c r="B9" s="28" t="s">
        <v>28</v>
      </c>
      <c r="C9" s="29" t="s">
        <v>29</v>
      </c>
      <c r="D9" s="30" t="s">
        <v>30</v>
      </c>
      <c r="E9" s="31" t="s">
        <v>31</v>
      </c>
      <c r="F9" s="24" t="s">
        <v>32</v>
      </c>
      <c r="G9" s="25" t="s">
        <v>328</v>
      </c>
      <c r="H9" s="26"/>
      <c r="I9" s="27"/>
    </row>
    <row r="10" spans="1:9" ht="31.55" customHeight="1" x14ac:dyDescent="0.3">
      <c r="A10" s="19"/>
      <c r="B10" s="20" t="s">
        <v>34</v>
      </c>
      <c r="C10" s="21" t="s">
        <v>35</v>
      </c>
      <c r="D10" s="22" t="s">
        <v>36</v>
      </c>
      <c r="E10" s="23" t="s">
        <v>37</v>
      </c>
      <c r="F10" s="24" t="s">
        <v>38</v>
      </c>
      <c r="G10" s="25" t="s">
        <v>329</v>
      </c>
      <c r="H10" s="26"/>
      <c r="I10" s="19"/>
    </row>
    <row r="11" spans="1:9" ht="31.55" customHeight="1" x14ac:dyDescent="0.3">
      <c r="A11" s="27"/>
      <c r="B11" s="28" t="s">
        <v>40</v>
      </c>
      <c r="C11" s="29" t="s">
        <v>41</v>
      </c>
      <c r="D11" s="30" t="s">
        <v>42</v>
      </c>
      <c r="E11" s="31" t="s">
        <v>43</v>
      </c>
      <c r="F11" s="24" t="s">
        <v>44</v>
      </c>
      <c r="G11" s="25" t="s">
        <v>330</v>
      </c>
      <c r="H11" s="26"/>
      <c r="I11" s="27"/>
    </row>
    <row r="12" spans="1:9" ht="31.55" customHeight="1" x14ac:dyDescent="0.3">
      <c r="A12" s="19"/>
      <c r="B12" s="20" t="s">
        <v>46</v>
      </c>
      <c r="C12" s="21" t="s">
        <v>47</v>
      </c>
      <c r="D12" s="22" t="s">
        <v>48</v>
      </c>
      <c r="E12" s="23" t="s">
        <v>49</v>
      </c>
      <c r="F12" s="24" t="s">
        <v>50</v>
      </c>
      <c r="G12" s="25" t="s">
        <v>267</v>
      </c>
      <c r="H12" s="26"/>
      <c r="I12" s="19"/>
    </row>
    <row r="14" spans="1:9" ht="21.75" customHeight="1" x14ac:dyDescent="0.3">
      <c r="A14" s="32"/>
      <c r="B14" s="11" t="s">
        <v>51</v>
      </c>
      <c r="C14" s="11"/>
      <c r="D14" s="11"/>
      <c r="E14" s="11"/>
      <c r="F14" s="11"/>
      <c r="G14" s="11"/>
      <c r="H14" s="11"/>
      <c r="I14" s="32"/>
    </row>
    <row r="15" spans="1:9" ht="31.55" customHeight="1" x14ac:dyDescent="0.3">
      <c r="A15" s="27"/>
      <c r="B15" s="28" t="s">
        <v>52</v>
      </c>
      <c r="C15" s="29" t="s">
        <v>53</v>
      </c>
      <c r="D15" s="30" t="s">
        <v>54</v>
      </c>
      <c r="E15" s="31" t="s">
        <v>55</v>
      </c>
      <c r="F15" s="24" t="s">
        <v>56</v>
      </c>
      <c r="G15" s="25" t="s">
        <v>331</v>
      </c>
      <c r="H15" s="26" t="b">
        <v>1</v>
      </c>
      <c r="I15" s="27"/>
    </row>
    <row r="16" spans="1:9" ht="31.55" customHeight="1" x14ac:dyDescent="0.3">
      <c r="A16" s="19"/>
      <c r="B16" s="20" t="s">
        <v>57</v>
      </c>
      <c r="C16" s="21" t="s">
        <v>58</v>
      </c>
      <c r="D16" s="22" t="s">
        <v>59</v>
      </c>
      <c r="E16" s="23" t="s">
        <v>60</v>
      </c>
      <c r="F16" s="24" t="s">
        <v>61</v>
      </c>
      <c r="G16" s="25" t="s">
        <v>62</v>
      </c>
      <c r="H16" s="26" t="s">
        <v>332</v>
      </c>
      <c r="I16" s="19"/>
    </row>
    <row r="17" spans="1:9" ht="31.55" customHeight="1" x14ac:dyDescent="0.3">
      <c r="A17" s="27"/>
      <c r="B17" s="28" t="s">
        <v>63</v>
      </c>
      <c r="C17" s="29" t="s">
        <v>64</v>
      </c>
      <c r="D17" s="30" t="s">
        <v>65</v>
      </c>
      <c r="E17" s="31" t="s">
        <v>66</v>
      </c>
      <c r="F17" s="24" t="s">
        <v>67</v>
      </c>
      <c r="G17" s="25" t="s">
        <v>333</v>
      </c>
      <c r="H17" s="26" t="b">
        <v>1</v>
      </c>
      <c r="I17" s="27"/>
    </row>
    <row r="18" spans="1:9" ht="31.55" customHeight="1" x14ac:dyDescent="0.3">
      <c r="A18" s="19"/>
      <c r="B18" s="20" t="s">
        <v>68</v>
      </c>
      <c r="C18" s="21" t="s">
        <v>69</v>
      </c>
      <c r="D18" s="22" t="s">
        <v>70</v>
      </c>
      <c r="E18" s="23" t="s">
        <v>71</v>
      </c>
      <c r="F18" s="24" t="s">
        <v>72</v>
      </c>
      <c r="G18" s="25" t="s">
        <v>73</v>
      </c>
      <c r="H18" s="26" t="b">
        <v>1</v>
      </c>
      <c r="I18" s="19"/>
    </row>
    <row r="19" spans="1:9" ht="31.55" customHeight="1" x14ac:dyDescent="0.3">
      <c r="A19" s="27"/>
      <c r="B19" s="28" t="s">
        <v>74</v>
      </c>
      <c r="C19" s="29" t="s">
        <v>75</v>
      </c>
      <c r="D19" s="30" t="s">
        <v>76</v>
      </c>
      <c r="E19" s="31" t="s">
        <v>77</v>
      </c>
      <c r="F19" s="24" t="s">
        <v>78</v>
      </c>
      <c r="G19" s="25" t="s">
        <v>79</v>
      </c>
      <c r="H19" s="26" t="b">
        <v>1</v>
      </c>
      <c r="I19" s="27"/>
    </row>
    <row r="21" spans="1:9" ht="21.75" customHeight="1" x14ac:dyDescent="0.3">
      <c r="A21" s="33"/>
      <c r="B21" s="10" t="s">
        <v>80</v>
      </c>
      <c r="C21" s="10"/>
      <c r="D21" s="10"/>
      <c r="E21" s="10"/>
      <c r="F21" s="10"/>
      <c r="G21" s="10"/>
      <c r="H21" s="10"/>
      <c r="I21" s="33"/>
    </row>
    <row r="22" spans="1:9" ht="31.55" customHeight="1" x14ac:dyDescent="0.3">
      <c r="A22" s="19"/>
      <c r="B22" s="20" t="s">
        <v>81</v>
      </c>
      <c r="C22" s="21" t="s">
        <v>82</v>
      </c>
      <c r="D22" s="22" t="s">
        <v>83</v>
      </c>
      <c r="E22" s="23" t="s">
        <v>84</v>
      </c>
      <c r="F22" s="24" t="s">
        <v>85</v>
      </c>
      <c r="G22" s="81" t="s">
        <v>334</v>
      </c>
      <c r="H22" s="26"/>
      <c r="I22" s="19"/>
    </row>
    <row r="23" spans="1:9" ht="31.55" customHeight="1" x14ac:dyDescent="0.3">
      <c r="A23" s="27"/>
      <c r="B23" s="28" t="s">
        <v>86</v>
      </c>
      <c r="C23" s="29" t="s">
        <v>87</v>
      </c>
      <c r="D23" s="30" t="s">
        <v>88</v>
      </c>
      <c r="E23" s="31" t="s">
        <v>89</v>
      </c>
      <c r="F23" s="24" t="s">
        <v>90</v>
      </c>
      <c r="G23" s="25" t="s">
        <v>91</v>
      </c>
      <c r="H23" s="26" t="s">
        <v>332</v>
      </c>
      <c r="I23" s="27"/>
    </row>
    <row r="24" spans="1:9" ht="31.55" customHeight="1" x14ac:dyDescent="0.3">
      <c r="A24" s="19"/>
      <c r="B24" s="20" t="s">
        <v>92</v>
      </c>
      <c r="C24" s="21" t="s">
        <v>93</v>
      </c>
      <c r="D24" s="22" t="s">
        <v>94</v>
      </c>
      <c r="E24" s="23" t="s">
        <v>95</v>
      </c>
      <c r="F24" s="24" t="s">
        <v>96</v>
      </c>
      <c r="G24" s="25" t="s">
        <v>97</v>
      </c>
      <c r="H24" s="26"/>
      <c r="I24" s="19"/>
    </row>
    <row r="25" spans="1:9" ht="31.55" customHeight="1" x14ac:dyDescent="0.3">
      <c r="A25" s="27"/>
      <c r="B25" s="28" t="s">
        <v>98</v>
      </c>
      <c r="C25" s="29" t="s">
        <v>99</v>
      </c>
      <c r="D25" s="30" t="s">
        <v>100</v>
      </c>
      <c r="E25" s="31" t="s">
        <v>101</v>
      </c>
      <c r="F25" s="24" t="s">
        <v>102</v>
      </c>
      <c r="G25" s="25" t="s">
        <v>103</v>
      </c>
      <c r="H25" s="26"/>
      <c r="I25" s="27"/>
    </row>
    <row r="26" spans="1:9" ht="31.55" customHeight="1" x14ac:dyDescent="0.3">
      <c r="A26" s="19"/>
      <c r="B26" s="20" t="s">
        <v>104</v>
      </c>
      <c r="C26" s="21" t="s">
        <v>105</v>
      </c>
      <c r="D26" s="22" t="s">
        <v>106</v>
      </c>
      <c r="E26" s="23" t="s">
        <v>107</v>
      </c>
      <c r="F26" s="24" t="s">
        <v>108</v>
      </c>
      <c r="G26" s="81" t="s">
        <v>335</v>
      </c>
      <c r="H26" s="26"/>
      <c r="I26" s="19"/>
    </row>
    <row r="27" spans="1:9" ht="31.55" customHeight="1" x14ac:dyDescent="0.3">
      <c r="A27" s="27"/>
      <c r="B27" s="28" t="s">
        <v>109</v>
      </c>
      <c r="C27" s="29" t="s">
        <v>110</v>
      </c>
      <c r="D27" s="30" t="s">
        <v>111</v>
      </c>
      <c r="E27" s="31" t="s">
        <v>112</v>
      </c>
      <c r="F27" s="24" t="s">
        <v>113</v>
      </c>
      <c r="G27" s="81" t="s">
        <v>336</v>
      </c>
      <c r="H27" s="26"/>
      <c r="I27" s="27"/>
    </row>
    <row r="28" spans="1:9" ht="31.55" customHeight="1" x14ac:dyDescent="0.3">
      <c r="A28" s="19"/>
      <c r="B28" s="20" t="s">
        <v>114</v>
      </c>
      <c r="C28" s="21" t="s">
        <v>115</v>
      </c>
      <c r="D28" s="22" t="s">
        <v>116</v>
      </c>
      <c r="E28" s="23" t="s">
        <v>117</v>
      </c>
      <c r="F28" s="24" t="s">
        <v>118</v>
      </c>
      <c r="G28" s="25" t="s">
        <v>119</v>
      </c>
      <c r="H28" s="26"/>
      <c r="I28" s="19"/>
    </row>
    <row r="29" spans="1:9" ht="31.55" customHeight="1" x14ac:dyDescent="0.3">
      <c r="A29" s="27"/>
      <c r="B29" s="28" t="s">
        <v>120</v>
      </c>
      <c r="C29" s="29" t="s">
        <v>121</v>
      </c>
      <c r="D29" s="30" t="s">
        <v>122</v>
      </c>
      <c r="E29" s="31" t="s">
        <v>123</v>
      </c>
      <c r="F29" s="24" t="s">
        <v>124</v>
      </c>
      <c r="G29" s="25" t="s">
        <v>125</v>
      </c>
      <c r="H29" s="26"/>
      <c r="I29" s="27"/>
    </row>
    <row r="31" spans="1:9" ht="21.75" customHeight="1" x14ac:dyDescent="0.3">
      <c r="A31" s="34"/>
      <c r="B31" s="9" t="s">
        <v>126</v>
      </c>
      <c r="C31" s="9"/>
      <c r="D31" s="9"/>
      <c r="E31" s="9"/>
      <c r="F31" s="9"/>
      <c r="G31" s="9"/>
      <c r="H31" s="9"/>
      <c r="I31" s="34"/>
    </row>
    <row r="32" spans="1:9" ht="31.55" customHeight="1" x14ac:dyDescent="0.3">
      <c r="A32" s="19"/>
      <c r="B32" s="20" t="s">
        <v>127</v>
      </c>
      <c r="C32" s="21" t="s">
        <v>128</v>
      </c>
      <c r="D32" s="22" t="s">
        <v>129</v>
      </c>
      <c r="E32" s="23" t="s">
        <v>130</v>
      </c>
      <c r="F32" s="24" t="s">
        <v>131</v>
      </c>
      <c r="G32" s="25" t="s">
        <v>132</v>
      </c>
      <c r="H32" s="26"/>
      <c r="I32" s="19"/>
    </row>
    <row r="33" spans="1:9" ht="31.55" customHeight="1" x14ac:dyDescent="0.3">
      <c r="A33" s="27"/>
      <c r="B33" s="28" t="s">
        <v>133</v>
      </c>
      <c r="C33" s="29" t="s">
        <v>134</v>
      </c>
      <c r="D33" s="30" t="s">
        <v>135</v>
      </c>
      <c r="E33" s="31" t="s">
        <v>136</v>
      </c>
      <c r="F33" s="24" t="s">
        <v>137</v>
      </c>
      <c r="G33" s="25" t="s">
        <v>138</v>
      </c>
      <c r="H33" s="26"/>
      <c r="I33" s="27"/>
    </row>
    <row r="34" spans="1:9" ht="31.55" customHeight="1" x14ac:dyDescent="0.3">
      <c r="A34" s="19"/>
      <c r="B34" s="20" t="s">
        <v>139</v>
      </c>
      <c r="C34" s="21" t="s">
        <v>140</v>
      </c>
      <c r="D34" s="22" t="s">
        <v>141</v>
      </c>
      <c r="E34" s="23" t="s">
        <v>142</v>
      </c>
      <c r="F34" s="24" t="s">
        <v>143</v>
      </c>
      <c r="G34" s="25" t="s">
        <v>144</v>
      </c>
      <c r="H34" s="26"/>
      <c r="I34" s="19"/>
    </row>
    <row r="35" spans="1:9" ht="31.55" customHeight="1" x14ac:dyDescent="0.3">
      <c r="A35" s="27"/>
      <c r="B35" s="28" t="s">
        <v>145</v>
      </c>
      <c r="C35" s="29" t="s">
        <v>146</v>
      </c>
      <c r="D35" s="30" t="s">
        <v>147</v>
      </c>
      <c r="E35" s="31" t="s">
        <v>148</v>
      </c>
      <c r="F35" s="24" t="s">
        <v>149</v>
      </c>
      <c r="G35" s="25" t="s">
        <v>103</v>
      </c>
      <c r="H35" s="26"/>
      <c r="I35" s="27"/>
    </row>
    <row r="36" spans="1:9" ht="31.55" customHeight="1" x14ac:dyDescent="0.3">
      <c r="A36" s="19"/>
      <c r="B36" s="20" t="s">
        <v>150</v>
      </c>
      <c r="C36" s="21" t="s">
        <v>151</v>
      </c>
      <c r="D36" s="22" t="s">
        <v>152</v>
      </c>
      <c r="E36" s="23" t="s">
        <v>153</v>
      </c>
      <c r="F36" s="24" t="s">
        <v>154</v>
      </c>
      <c r="G36" s="25" t="s">
        <v>155</v>
      </c>
      <c r="H36" s="26"/>
      <c r="I36" s="19"/>
    </row>
    <row r="38" spans="1:9" ht="19.45" customHeight="1" x14ac:dyDescent="0.3">
      <c r="B38" s="8" t="s">
        <v>156</v>
      </c>
      <c r="C38" s="8"/>
      <c r="D38" s="8"/>
      <c r="E38" s="8"/>
      <c r="F38" s="8"/>
      <c r="G38" s="8"/>
      <c r="H38" s="8"/>
    </row>
  </sheetData>
  <mergeCells count="7">
    <mergeCell ref="B31:H31"/>
    <mergeCell ref="B38:H38"/>
    <mergeCell ref="B1:H1"/>
    <mergeCell ref="B2:H2"/>
    <mergeCell ref="B5:H5"/>
    <mergeCell ref="B14:H14"/>
    <mergeCell ref="B21:H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"/>
  <sheetViews>
    <sheetView showGridLines="0" zoomScaleNormal="100" workbookViewId="0"/>
  </sheetViews>
  <sheetFormatPr defaultColWidth="8.69921875" defaultRowHeight="14.4" x14ac:dyDescent="0.3"/>
  <cols>
    <col min="1" max="1" width="3" customWidth="1"/>
    <col min="2" max="2" width="6" customWidth="1"/>
    <col min="3" max="3" width="28" customWidth="1"/>
    <col min="4" max="5" width="25" customWidth="1"/>
    <col min="6" max="6" width="3" customWidth="1"/>
  </cols>
  <sheetData>
    <row r="1" spans="1:6" ht="36" customHeight="1" x14ac:dyDescent="0.3">
      <c r="B1" s="14" t="s">
        <v>157</v>
      </c>
      <c r="C1" s="14"/>
      <c r="D1" s="14"/>
      <c r="E1" s="14"/>
    </row>
    <row r="2" spans="1:6" ht="18" customHeight="1" x14ac:dyDescent="0.3">
      <c r="B2" s="13" t="s">
        <v>158</v>
      </c>
      <c r="C2" s="13"/>
      <c r="D2" s="13"/>
      <c r="E2" s="13"/>
    </row>
    <row r="3" spans="1:6" ht="7.5" customHeight="1" x14ac:dyDescent="0.3"/>
    <row r="4" spans="1:6" ht="27.8" customHeight="1" x14ac:dyDescent="0.3">
      <c r="A4" s="35"/>
      <c r="B4" s="35" t="s">
        <v>2</v>
      </c>
      <c r="C4" s="35" t="s">
        <v>159</v>
      </c>
      <c r="D4" s="35" t="s">
        <v>160</v>
      </c>
      <c r="E4" s="35" t="s">
        <v>161</v>
      </c>
    </row>
    <row r="5" spans="1:6" ht="21.75" customHeight="1" x14ac:dyDescent="0.3">
      <c r="A5" s="18"/>
      <c r="B5" s="7" t="s">
        <v>162</v>
      </c>
      <c r="C5" s="7"/>
      <c r="D5" s="7"/>
      <c r="E5" s="7"/>
      <c r="F5" s="18"/>
    </row>
    <row r="7" spans="1:6" ht="31.55" customHeight="1" x14ac:dyDescent="0.3">
      <c r="A7" s="19"/>
      <c r="B7" s="20" t="s">
        <v>10</v>
      </c>
      <c r="C7" s="21" t="s">
        <v>11</v>
      </c>
      <c r="D7" s="25" t="s">
        <v>15</v>
      </c>
      <c r="E7" s="36" t="s">
        <v>163</v>
      </c>
      <c r="F7" s="19"/>
    </row>
    <row r="8" spans="1:6" ht="31.55" customHeight="1" x14ac:dyDescent="0.3">
      <c r="A8" s="27"/>
      <c r="B8" s="28" t="s">
        <v>16</v>
      </c>
      <c r="C8" s="29" t="s">
        <v>164</v>
      </c>
      <c r="D8" s="25" t="s">
        <v>21</v>
      </c>
      <c r="E8" s="37" t="s">
        <v>165</v>
      </c>
      <c r="F8" s="27"/>
    </row>
    <row r="9" spans="1:6" ht="31.55" customHeight="1" x14ac:dyDescent="0.3">
      <c r="A9" s="19"/>
      <c r="B9" s="20" t="s">
        <v>22</v>
      </c>
      <c r="C9" s="21" t="s">
        <v>166</v>
      </c>
      <c r="D9" s="25" t="s">
        <v>27</v>
      </c>
      <c r="E9" s="36" t="s">
        <v>167</v>
      </c>
      <c r="F9" s="19"/>
    </row>
    <row r="10" spans="1:6" ht="31.55" customHeight="1" x14ac:dyDescent="0.3">
      <c r="A10" s="27"/>
      <c r="B10" s="28" t="s">
        <v>28</v>
      </c>
      <c r="C10" s="29" t="s">
        <v>168</v>
      </c>
      <c r="D10" s="25" t="s">
        <v>33</v>
      </c>
      <c r="E10" s="37" t="s">
        <v>169</v>
      </c>
      <c r="F10" s="27"/>
    </row>
    <row r="11" spans="1:6" ht="31.55" customHeight="1" x14ac:dyDescent="0.3">
      <c r="A11" s="19"/>
      <c r="B11" s="20" t="s">
        <v>34</v>
      </c>
      <c r="C11" s="21" t="s">
        <v>35</v>
      </c>
      <c r="D11" s="25" t="s">
        <v>39</v>
      </c>
      <c r="E11" s="36" t="s">
        <v>170</v>
      </c>
      <c r="F11" s="19"/>
    </row>
    <row r="12" spans="1:6" ht="31.55" customHeight="1" x14ac:dyDescent="0.3">
      <c r="A12" s="27"/>
      <c r="B12" s="28" t="s">
        <v>40</v>
      </c>
      <c r="C12" s="29" t="s">
        <v>41</v>
      </c>
      <c r="D12" s="25" t="s">
        <v>45</v>
      </c>
      <c r="E12" s="37" t="s">
        <v>171</v>
      </c>
      <c r="F12" s="27"/>
    </row>
    <row r="13" spans="1:6" ht="31.55" customHeight="1" x14ac:dyDescent="0.3">
      <c r="A13" s="19"/>
      <c r="B13" s="20" t="s">
        <v>46</v>
      </c>
      <c r="C13" s="21" t="s">
        <v>47</v>
      </c>
      <c r="D13" s="25" t="s">
        <v>172</v>
      </c>
      <c r="E13" s="36" t="s">
        <v>173</v>
      </c>
      <c r="F13" s="19"/>
    </row>
    <row r="15" spans="1:6" ht="21.75" customHeight="1" x14ac:dyDescent="0.3">
      <c r="A15" s="32"/>
      <c r="B15" s="6" t="s">
        <v>174</v>
      </c>
      <c r="C15" s="6"/>
      <c r="D15" s="6"/>
      <c r="E15" s="6"/>
      <c r="F15" s="32"/>
    </row>
    <row r="17" spans="1:6" ht="31.55" customHeight="1" x14ac:dyDescent="0.3">
      <c r="A17" s="27"/>
      <c r="B17" s="28" t="s">
        <v>52</v>
      </c>
      <c r="C17" s="29" t="s">
        <v>175</v>
      </c>
      <c r="D17" s="25" t="s">
        <v>176</v>
      </c>
      <c r="E17" s="37" t="s">
        <v>177</v>
      </c>
      <c r="F17" s="27"/>
    </row>
    <row r="18" spans="1:6" ht="31.55" customHeight="1" x14ac:dyDescent="0.3">
      <c r="A18" s="19"/>
      <c r="B18" s="20" t="s">
        <v>57</v>
      </c>
      <c r="C18" s="21" t="s">
        <v>178</v>
      </c>
      <c r="D18" s="25" t="s">
        <v>179</v>
      </c>
      <c r="E18" s="36" t="s">
        <v>180</v>
      </c>
      <c r="F18" s="19"/>
    </row>
    <row r="19" spans="1:6" ht="31.55" customHeight="1" x14ac:dyDescent="0.3">
      <c r="A19" s="27"/>
      <c r="B19" s="28" t="s">
        <v>63</v>
      </c>
      <c r="C19" s="29" t="s">
        <v>181</v>
      </c>
      <c r="D19" s="25" t="s">
        <v>182</v>
      </c>
      <c r="E19" s="37" t="s">
        <v>183</v>
      </c>
      <c r="F19" s="27"/>
    </row>
    <row r="20" spans="1:6" ht="31.55" customHeight="1" x14ac:dyDescent="0.3">
      <c r="A20" s="19"/>
      <c r="B20" s="20" t="s">
        <v>68</v>
      </c>
      <c r="C20" s="21" t="s">
        <v>184</v>
      </c>
      <c r="D20" s="25" t="s">
        <v>185</v>
      </c>
      <c r="E20" s="36" t="s">
        <v>186</v>
      </c>
      <c r="F20" s="19"/>
    </row>
    <row r="21" spans="1:6" ht="31.55" customHeight="1" x14ac:dyDescent="0.3">
      <c r="A21" s="27"/>
      <c r="B21" s="28" t="s">
        <v>74</v>
      </c>
      <c r="C21" s="29" t="s">
        <v>187</v>
      </c>
      <c r="D21" s="25" t="s">
        <v>188</v>
      </c>
      <c r="E21" s="37" t="s">
        <v>189</v>
      </c>
      <c r="F21" s="27"/>
    </row>
    <row r="22" spans="1:6" ht="31.55" customHeight="1" x14ac:dyDescent="0.3">
      <c r="A22" s="19"/>
      <c r="B22" s="20" t="s">
        <v>81</v>
      </c>
      <c r="C22" s="21" t="s">
        <v>64</v>
      </c>
      <c r="D22" s="25" t="s">
        <v>190</v>
      </c>
      <c r="E22" s="36" t="s">
        <v>191</v>
      </c>
      <c r="F22" s="19"/>
    </row>
    <row r="23" spans="1:6" ht="31.55" customHeight="1" x14ac:dyDescent="0.3">
      <c r="A23" s="27"/>
      <c r="B23" s="28" t="s">
        <v>86</v>
      </c>
      <c r="C23" s="29" t="s">
        <v>192</v>
      </c>
      <c r="D23" s="25" t="s">
        <v>193</v>
      </c>
      <c r="E23" s="37" t="s">
        <v>194</v>
      </c>
      <c r="F23" s="27"/>
    </row>
    <row r="25" spans="1:6" ht="21.75" customHeight="1" x14ac:dyDescent="0.3">
      <c r="A25" s="33"/>
      <c r="B25" s="5" t="s">
        <v>195</v>
      </c>
      <c r="C25" s="5"/>
      <c r="D25" s="5"/>
      <c r="E25" s="5"/>
      <c r="F25" s="33"/>
    </row>
    <row r="27" spans="1:6" ht="31.55" customHeight="1" x14ac:dyDescent="0.3">
      <c r="A27" s="19"/>
      <c r="B27" s="20" t="s">
        <v>92</v>
      </c>
      <c r="C27" s="21" t="s">
        <v>196</v>
      </c>
      <c r="D27" s="25" t="s">
        <v>197</v>
      </c>
      <c r="E27" s="36" t="s">
        <v>198</v>
      </c>
      <c r="F27" s="19"/>
    </row>
    <row r="28" spans="1:6" ht="31.55" customHeight="1" x14ac:dyDescent="0.3">
      <c r="A28" s="27"/>
      <c r="B28" s="28" t="s">
        <v>98</v>
      </c>
      <c r="C28" s="29" t="s">
        <v>199</v>
      </c>
      <c r="D28" s="25" t="s">
        <v>197</v>
      </c>
      <c r="E28" s="37" t="s">
        <v>200</v>
      </c>
      <c r="F28" s="27"/>
    </row>
    <row r="29" spans="1:6" ht="31.55" customHeight="1" x14ac:dyDescent="0.3">
      <c r="A29" s="19"/>
      <c r="B29" s="20" t="s">
        <v>104</v>
      </c>
      <c r="C29" s="21" t="s">
        <v>201</v>
      </c>
      <c r="D29" s="25" t="s">
        <v>202</v>
      </c>
      <c r="E29" s="36" t="s">
        <v>203</v>
      </c>
      <c r="F29" s="19"/>
    </row>
    <row r="30" spans="1:6" ht="31.55" customHeight="1" x14ac:dyDescent="0.3">
      <c r="A30" s="27"/>
      <c r="B30" s="28" t="s">
        <v>109</v>
      </c>
      <c r="C30" s="29" t="s">
        <v>82</v>
      </c>
      <c r="D30" s="25" t="s">
        <v>204</v>
      </c>
      <c r="E30" s="37" t="s">
        <v>205</v>
      </c>
      <c r="F30" s="27"/>
    </row>
    <row r="31" spans="1:6" ht="31.55" customHeight="1" x14ac:dyDescent="0.3">
      <c r="A31" s="19"/>
      <c r="B31" s="20" t="s">
        <v>114</v>
      </c>
      <c r="C31" s="21" t="s">
        <v>206</v>
      </c>
      <c r="D31" s="25" t="s">
        <v>207</v>
      </c>
      <c r="E31" s="36" t="s">
        <v>208</v>
      </c>
      <c r="F31" s="19"/>
    </row>
    <row r="32" spans="1:6" ht="31.55" customHeight="1" x14ac:dyDescent="0.3">
      <c r="A32" s="27"/>
      <c r="B32" s="28" t="s">
        <v>120</v>
      </c>
      <c r="C32" s="29" t="s">
        <v>209</v>
      </c>
      <c r="D32" s="25" t="s">
        <v>210</v>
      </c>
      <c r="E32" s="37" t="s">
        <v>211</v>
      </c>
      <c r="F32" s="27"/>
    </row>
    <row r="33" spans="1:6" ht="31.55" customHeight="1" x14ac:dyDescent="0.3">
      <c r="A33" s="19"/>
      <c r="B33" s="20" t="s">
        <v>127</v>
      </c>
      <c r="C33" s="21" t="s">
        <v>212</v>
      </c>
      <c r="D33" s="25" t="s">
        <v>213</v>
      </c>
      <c r="E33" s="36" t="s">
        <v>214</v>
      </c>
      <c r="F33" s="19"/>
    </row>
    <row r="34" spans="1:6" ht="31.55" customHeight="1" x14ac:dyDescent="0.3">
      <c r="A34" s="27"/>
      <c r="B34" s="28" t="s">
        <v>133</v>
      </c>
      <c r="C34" s="29" t="s">
        <v>215</v>
      </c>
      <c r="D34" s="25" t="s">
        <v>216</v>
      </c>
      <c r="E34" s="37" t="s">
        <v>217</v>
      </c>
      <c r="F34" s="27"/>
    </row>
    <row r="35" spans="1:6" ht="31.55" customHeight="1" x14ac:dyDescent="0.3">
      <c r="A35" s="19"/>
      <c r="B35" s="20" t="s">
        <v>139</v>
      </c>
      <c r="C35" s="21" t="s">
        <v>218</v>
      </c>
      <c r="D35" s="25" t="s">
        <v>219</v>
      </c>
      <c r="E35" s="36" t="s">
        <v>220</v>
      </c>
      <c r="F35" s="19"/>
    </row>
    <row r="36" spans="1:6" ht="31.55" customHeight="1" x14ac:dyDescent="0.3">
      <c r="A36" s="27"/>
      <c r="B36" s="28" t="s">
        <v>145</v>
      </c>
      <c r="C36" s="29" t="s">
        <v>221</v>
      </c>
      <c r="D36" s="25" t="s">
        <v>15</v>
      </c>
      <c r="E36" s="37" t="s">
        <v>222</v>
      </c>
      <c r="F36" s="27"/>
    </row>
  </sheetData>
  <mergeCells count="5">
    <mergeCell ref="B1:E1"/>
    <mergeCell ref="B2:E2"/>
    <mergeCell ref="B5:E5"/>
    <mergeCell ref="B15:E15"/>
    <mergeCell ref="B25:E2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showGridLines="0" topLeftCell="A6" zoomScaleNormal="100" workbookViewId="0"/>
  </sheetViews>
  <sheetFormatPr defaultColWidth="8.69921875" defaultRowHeight="14.4" x14ac:dyDescent="0.3"/>
  <cols>
    <col min="1" max="1" width="3" customWidth="1"/>
    <col min="2" max="2" width="14" customWidth="1"/>
    <col min="3" max="4" width="16" customWidth="1"/>
    <col min="5" max="5" width="22" customWidth="1"/>
    <col min="6" max="6" width="28" customWidth="1"/>
    <col min="7" max="7" width="20" customWidth="1"/>
    <col min="8" max="8" width="3" customWidth="1"/>
  </cols>
  <sheetData>
    <row r="1" spans="1:8" ht="36" customHeight="1" x14ac:dyDescent="0.3">
      <c r="B1" s="14" t="s">
        <v>223</v>
      </c>
      <c r="C1" s="14"/>
      <c r="D1" s="14"/>
      <c r="E1" s="14"/>
      <c r="F1" s="14"/>
      <c r="G1" s="14"/>
    </row>
    <row r="2" spans="1:8" ht="18" customHeight="1" x14ac:dyDescent="0.3">
      <c r="B2" s="13" t="s">
        <v>224</v>
      </c>
      <c r="C2" s="13"/>
      <c r="D2" s="13"/>
      <c r="E2" s="13"/>
      <c r="F2" s="13"/>
      <c r="G2" s="13"/>
    </row>
    <row r="3" spans="1:8" ht="7.5" customHeight="1" x14ac:dyDescent="0.3"/>
    <row r="4" spans="1:8" ht="36" customHeight="1" x14ac:dyDescent="0.3">
      <c r="A4" s="35"/>
      <c r="B4" s="35" t="s">
        <v>225</v>
      </c>
      <c r="C4" s="35" t="s">
        <v>226</v>
      </c>
      <c r="D4" s="35" t="s">
        <v>227</v>
      </c>
      <c r="E4" s="35" t="s">
        <v>228</v>
      </c>
      <c r="F4" s="35" t="s">
        <v>229</v>
      </c>
      <c r="G4" s="35" t="s">
        <v>230</v>
      </c>
    </row>
    <row r="5" spans="1:8" ht="31.55" customHeight="1" x14ac:dyDescent="0.3">
      <c r="A5" s="38"/>
      <c r="B5" s="39" t="s">
        <v>231</v>
      </c>
      <c r="C5" s="40" t="s">
        <v>232</v>
      </c>
      <c r="D5" s="39" t="s">
        <v>233</v>
      </c>
      <c r="E5" s="39" t="s">
        <v>234</v>
      </c>
      <c r="F5" s="41" t="s">
        <v>235</v>
      </c>
      <c r="G5" s="42" t="s">
        <v>236</v>
      </c>
      <c r="H5" s="38"/>
    </row>
    <row r="6" spans="1:8" ht="31.55" customHeight="1" x14ac:dyDescent="0.3">
      <c r="A6" s="27"/>
      <c r="B6" s="43" t="s">
        <v>237</v>
      </c>
      <c r="C6" s="44" t="s">
        <v>238</v>
      </c>
      <c r="D6" s="43" t="s">
        <v>239</v>
      </c>
      <c r="E6" s="43" t="s">
        <v>240</v>
      </c>
      <c r="F6" s="30" t="s">
        <v>241</v>
      </c>
      <c r="G6" s="45" t="s">
        <v>242</v>
      </c>
      <c r="H6" s="27"/>
    </row>
    <row r="7" spans="1:8" ht="31.55" customHeight="1" x14ac:dyDescent="0.3">
      <c r="A7" s="46"/>
      <c r="B7" s="47" t="s">
        <v>243</v>
      </c>
      <c r="C7" s="48" t="s">
        <v>172</v>
      </c>
      <c r="D7" s="49" t="s">
        <v>239</v>
      </c>
      <c r="E7" s="49" t="s">
        <v>244</v>
      </c>
      <c r="F7" s="50" t="s">
        <v>245</v>
      </c>
      <c r="G7" s="51" t="s">
        <v>246</v>
      </c>
      <c r="H7" s="46"/>
    </row>
    <row r="8" spans="1:8" ht="31.55" customHeight="1" x14ac:dyDescent="0.3">
      <c r="A8" s="27"/>
      <c r="B8" s="43" t="s">
        <v>247</v>
      </c>
      <c r="C8" s="52" t="s">
        <v>248</v>
      </c>
      <c r="D8" s="43" t="s">
        <v>239</v>
      </c>
      <c r="E8" s="43" t="s">
        <v>240</v>
      </c>
      <c r="F8" s="30" t="s">
        <v>249</v>
      </c>
      <c r="G8" s="45" t="s">
        <v>250</v>
      </c>
      <c r="H8" s="27"/>
    </row>
    <row r="9" spans="1:8" ht="31.55" customHeight="1" x14ac:dyDescent="0.3">
      <c r="A9" s="53"/>
      <c r="B9" s="54" t="s">
        <v>251</v>
      </c>
      <c r="C9" s="55" t="s">
        <v>252</v>
      </c>
      <c r="D9" s="54" t="s">
        <v>253</v>
      </c>
      <c r="E9" s="54" t="s">
        <v>244</v>
      </c>
      <c r="F9" s="56" t="s">
        <v>254</v>
      </c>
      <c r="G9" s="57" t="s">
        <v>255</v>
      </c>
      <c r="H9" s="53"/>
    </row>
    <row r="10" spans="1:8" ht="31.55" customHeight="1" x14ac:dyDescent="0.3">
      <c r="A10" s="53"/>
      <c r="B10" s="54" t="s">
        <v>256</v>
      </c>
      <c r="C10" s="55" t="s">
        <v>257</v>
      </c>
      <c r="D10" s="54" t="s">
        <v>258</v>
      </c>
      <c r="E10" s="54" t="s">
        <v>244</v>
      </c>
      <c r="F10" s="56" t="s">
        <v>259</v>
      </c>
      <c r="G10" s="57" t="s">
        <v>260</v>
      </c>
      <c r="H10" s="53"/>
    </row>
    <row r="11" spans="1:8" ht="31.55" customHeight="1" x14ac:dyDescent="0.3">
      <c r="A11" s="58"/>
      <c r="B11" s="59" t="s">
        <v>261</v>
      </c>
      <c r="C11" s="60" t="s">
        <v>262</v>
      </c>
      <c r="D11" s="59" t="s">
        <v>263</v>
      </c>
      <c r="E11" s="59" t="s">
        <v>244</v>
      </c>
      <c r="F11" s="61" t="s">
        <v>264</v>
      </c>
      <c r="G11" s="62" t="s">
        <v>265</v>
      </c>
      <c r="H11" s="58"/>
    </row>
    <row r="12" spans="1:8" ht="31.55" customHeight="1" x14ac:dyDescent="0.3">
      <c r="A12" s="58"/>
      <c r="B12" s="59" t="s">
        <v>266</v>
      </c>
      <c r="C12" s="60" t="s">
        <v>267</v>
      </c>
      <c r="D12" s="59" t="s">
        <v>263</v>
      </c>
      <c r="E12" s="59" t="s">
        <v>244</v>
      </c>
      <c r="F12" s="61" t="s">
        <v>268</v>
      </c>
      <c r="G12" s="62" t="s">
        <v>269</v>
      </c>
      <c r="H12" s="58"/>
    </row>
    <row r="13" spans="1:8" ht="31.55" customHeight="1" x14ac:dyDescent="0.3">
      <c r="A13" s="58"/>
      <c r="B13" s="59" t="s">
        <v>270</v>
      </c>
      <c r="C13" s="60" t="s">
        <v>271</v>
      </c>
      <c r="D13" s="59" t="s">
        <v>263</v>
      </c>
      <c r="E13" s="59" t="s">
        <v>244</v>
      </c>
      <c r="F13" s="61" t="s">
        <v>272</v>
      </c>
      <c r="G13" s="62" t="s">
        <v>273</v>
      </c>
      <c r="H13" s="58"/>
    </row>
    <row r="14" spans="1:8" ht="31.55" customHeight="1" x14ac:dyDescent="0.3">
      <c r="A14" s="63"/>
      <c r="B14" s="64" t="s">
        <v>274</v>
      </c>
      <c r="C14" s="65" t="s">
        <v>275</v>
      </c>
      <c r="D14" s="64" t="s">
        <v>258</v>
      </c>
      <c r="E14" s="64" t="s">
        <v>276</v>
      </c>
      <c r="F14" s="66" t="s">
        <v>277</v>
      </c>
      <c r="G14" s="67" t="s">
        <v>278</v>
      </c>
      <c r="H14" s="63"/>
    </row>
    <row r="16" spans="1:8" ht="21.75" customHeight="1" x14ac:dyDescent="0.3">
      <c r="B16" s="4" t="s">
        <v>279</v>
      </c>
      <c r="C16" s="4"/>
      <c r="D16" s="4"/>
      <c r="E16" s="4"/>
      <c r="F16" s="4"/>
      <c r="G16" s="4"/>
    </row>
    <row r="17" spans="2:7" ht="21.75" customHeight="1" x14ac:dyDescent="0.3">
      <c r="B17" s="3" t="s">
        <v>280</v>
      </c>
      <c r="C17" s="3"/>
      <c r="D17" s="3"/>
      <c r="E17" s="2" t="s">
        <v>281</v>
      </c>
      <c r="F17" s="2"/>
      <c r="G17" s="2"/>
    </row>
    <row r="18" spans="2:7" ht="21.75" customHeight="1" x14ac:dyDescent="0.3">
      <c r="B18" s="1" t="s">
        <v>282</v>
      </c>
      <c r="C18" s="1"/>
      <c r="D18" s="1"/>
      <c r="E18" s="72" t="s">
        <v>283</v>
      </c>
      <c r="F18" s="72"/>
      <c r="G18" s="72"/>
    </row>
    <row r="19" spans="2:7" ht="21.75" customHeight="1" x14ac:dyDescent="0.3">
      <c r="B19" s="73" t="s">
        <v>284</v>
      </c>
      <c r="C19" s="73"/>
      <c r="D19" s="73"/>
      <c r="E19" s="74" t="s">
        <v>285</v>
      </c>
      <c r="F19" s="74"/>
      <c r="G19" s="74"/>
    </row>
    <row r="20" spans="2:7" ht="21.75" customHeight="1" x14ac:dyDescent="0.3">
      <c r="B20" s="75" t="s">
        <v>286</v>
      </c>
      <c r="C20" s="75"/>
      <c r="D20" s="75"/>
      <c r="E20" s="76" t="s">
        <v>287</v>
      </c>
      <c r="F20" s="76"/>
      <c r="G20" s="76"/>
    </row>
    <row r="21" spans="2:7" ht="21.75" customHeight="1" x14ac:dyDescent="0.3">
      <c r="B21" s="75" t="s">
        <v>288</v>
      </c>
      <c r="C21" s="75"/>
      <c r="D21" s="75"/>
      <c r="E21" s="76" t="s">
        <v>289</v>
      </c>
      <c r="F21" s="76"/>
      <c r="G21" s="76"/>
    </row>
    <row r="22" spans="2:7" ht="21.75" customHeight="1" x14ac:dyDescent="0.3">
      <c r="B22" s="3" t="s">
        <v>290</v>
      </c>
      <c r="C22" s="3"/>
      <c r="D22" s="3"/>
      <c r="E22" s="2" t="s">
        <v>291</v>
      </c>
      <c r="F22" s="2"/>
      <c r="G22" s="2"/>
    </row>
    <row r="23" spans="2:7" ht="21.75" customHeight="1" x14ac:dyDescent="0.3">
      <c r="B23" s="73" t="s">
        <v>292</v>
      </c>
      <c r="C23" s="73"/>
      <c r="D23" s="73"/>
      <c r="E23" s="74" t="s">
        <v>293</v>
      </c>
      <c r="F23" s="74"/>
      <c r="G23" s="74"/>
    </row>
    <row r="24" spans="2:7" ht="21.75" customHeight="1" x14ac:dyDescent="0.3">
      <c r="B24" s="77" t="s">
        <v>294</v>
      </c>
      <c r="C24" s="77"/>
      <c r="D24" s="77"/>
      <c r="E24" s="78" t="s">
        <v>295</v>
      </c>
      <c r="F24" s="78"/>
      <c r="G24" s="78"/>
    </row>
  </sheetData>
  <mergeCells count="19">
    <mergeCell ref="B24:D24"/>
    <mergeCell ref="E24:G24"/>
    <mergeCell ref="B21:D21"/>
    <mergeCell ref="E21:G21"/>
    <mergeCell ref="B22:D22"/>
    <mergeCell ref="E22:G22"/>
    <mergeCell ref="B23:D23"/>
    <mergeCell ref="E23:G23"/>
    <mergeCell ref="B18:D18"/>
    <mergeCell ref="E18:G18"/>
    <mergeCell ref="B19:D19"/>
    <mergeCell ref="E19:G19"/>
    <mergeCell ref="B20:D20"/>
    <mergeCell ref="E20:G20"/>
    <mergeCell ref="B1:G1"/>
    <mergeCell ref="B2:G2"/>
    <mergeCell ref="B16:G16"/>
    <mergeCell ref="B17:D17"/>
    <mergeCell ref="E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19"/>
  <sheetViews>
    <sheetView showGridLines="0" tabSelected="1" topLeftCell="A6" zoomScaleNormal="100" workbookViewId="0">
      <selection activeCell="E17" sqref="E17"/>
    </sheetView>
  </sheetViews>
  <sheetFormatPr defaultColWidth="8.69921875" defaultRowHeight="14.4" x14ac:dyDescent="0.3"/>
  <cols>
    <col min="1" max="1" width="3" customWidth="1"/>
    <col min="2" max="2" width="30" customWidth="1"/>
    <col min="3" max="4" width="20" customWidth="1"/>
    <col min="5" max="5" width="25" customWidth="1"/>
    <col min="6" max="6" width="3" customWidth="1"/>
  </cols>
  <sheetData>
    <row r="1" spans="2:5" ht="36" customHeight="1" x14ac:dyDescent="0.3">
      <c r="B1" s="14" t="s">
        <v>296</v>
      </c>
      <c r="C1" s="14"/>
      <c r="D1" s="14"/>
      <c r="E1" s="14"/>
    </row>
    <row r="2" spans="2:5" ht="18" customHeight="1" x14ac:dyDescent="0.3">
      <c r="B2" s="13" t="s">
        <v>297</v>
      </c>
      <c r="C2" s="13"/>
      <c r="D2" s="13"/>
      <c r="E2" s="13"/>
    </row>
    <row r="3" spans="2:5" ht="7.5" customHeight="1" x14ac:dyDescent="0.3"/>
    <row r="4" spans="2:5" ht="21.75" customHeight="1" x14ac:dyDescent="0.3">
      <c r="B4" s="79" t="s">
        <v>298</v>
      </c>
      <c r="C4" s="79"/>
      <c r="D4" s="79"/>
      <c r="E4" s="79"/>
    </row>
    <row r="5" spans="2:5" ht="25.5" customHeight="1" x14ac:dyDescent="0.3">
      <c r="B5" s="21" t="s">
        <v>299</v>
      </c>
      <c r="C5" s="68">
        <v>16</v>
      </c>
      <c r="D5" s="69" t="s">
        <v>300</v>
      </c>
    </row>
    <row r="6" spans="2:5" ht="25.5" customHeight="1" x14ac:dyDescent="0.3">
      <c r="B6" s="21" t="s">
        <v>301</v>
      </c>
      <c r="C6" s="68">
        <v>16</v>
      </c>
      <c r="D6" s="69" t="s">
        <v>302</v>
      </c>
    </row>
    <row r="7" spans="2:5" ht="25.5" customHeight="1" x14ac:dyDescent="0.3">
      <c r="B7" s="21" t="s">
        <v>168</v>
      </c>
      <c r="C7" s="68">
        <v>32</v>
      </c>
      <c r="D7" s="69" t="s">
        <v>303</v>
      </c>
    </row>
    <row r="8" spans="2:5" ht="25.5" customHeight="1" thickBot="1" x14ac:dyDescent="0.35">
      <c r="B8" s="21" t="s">
        <v>304</v>
      </c>
      <c r="C8" s="68">
        <v>32767</v>
      </c>
      <c r="D8" s="69" t="s">
        <v>305</v>
      </c>
    </row>
    <row r="9" spans="2:5" ht="25.5" customHeight="1" thickBot="1" x14ac:dyDescent="0.35">
      <c r="B9" s="21" t="s">
        <v>306</v>
      </c>
      <c r="C9" s="68">
        <v>7958</v>
      </c>
      <c r="D9" s="69" t="s">
        <v>307</v>
      </c>
    </row>
    <row r="11" spans="2:5" ht="21.75" customHeight="1" x14ac:dyDescent="0.3">
      <c r="B11" s="80" t="s">
        <v>308</v>
      </c>
      <c r="C11" s="80"/>
      <c r="D11" s="80"/>
      <c r="E11" s="80"/>
    </row>
    <row r="12" spans="2:5" ht="25.5" customHeight="1" x14ac:dyDescent="0.3">
      <c r="B12" s="21" t="s">
        <v>206</v>
      </c>
      <c r="C12" s="70">
        <f>C8*C9</f>
        <v>260759786</v>
      </c>
      <c r="D12" s="69" t="s">
        <v>309</v>
      </c>
    </row>
    <row r="13" spans="2:5" ht="25.5" customHeight="1" x14ac:dyDescent="0.3">
      <c r="B13" s="29" t="s">
        <v>310</v>
      </c>
      <c r="C13" s="70">
        <f>INT(LOG(C8*C9)/LOG(2))+2</f>
        <v>29</v>
      </c>
      <c r="D13" s="71" t="s">
        <v>311</v>
      </c>
    </row>
    <row r="14" spans="2:5" ht="25.5" customHeight="1" x14ac:dyDescent="0.3">
      <c r="B14" s="21" t="s">
        <v>209</v>
      </c>
      <c r="C14" s="70">
        <f>C7*C8*C9</f>
        <v>8344313152</v>
      </c>
      <c r="D14" s="69" t="s">
        <v>312</v>
      </c>
    </row>
    <row r="15" spans="2:5" ht="25.5" customHeight="1" x14ac:dyDescent="0.3">
      <c r="B15" s="29" t="s">
        <v>313</v>
      </c>
      <c r="C15" s="70">
        <f>INT(LOG(C7*C8*C9)/LOG(2))+2</f>
        <v>34</v>
      </c>
      <c r="D15" s="71" t="s">
        <v>314</v>
      </c>
    </row>
    <row r="16" spans="2:5" ht="25.5" customHeight="1" x14ac:dyDescent="0.3">
      <c r="B16" s="21" t="s">
        <v>315</v>
      </c>
      <c r="C16" s="70">
        <f>INT(LOG(C7*C8*C9)/LOG(2))+9</f>
        <v>41</v>
      </c>
      <c r="D16" s="69" t="s">
        <v>316</v>
      </c>
    </row>
    <row r="17" spans="2:4" ht="25.5" customHeight="1" x14ac:dyDescent="0.3">
      <c r="B17" s="29" t="s">
        <v>317</v>
      </c>
      <c r="C17" s="70" t="s">
        <v>318</v>
      </c>
      <c r="D17" s="71" t="s">
        <v>319</v>
      </c>
    </row>
    <row r="18" spans="2:4" ht="25.5" customHeight="1" x14ac:dyDescent="0.3">
      <c r="B18" s="21" t="s">
        <v>320</v>
      </c>
      <c r="C18" s="70" t="s">
        <v>321</v>
      </c>
      <c r="D18" s="69" t="s">
        <v>322</v>
      </c>
    </row>
    <row r="19" spans="2:4" ht="25.5" customHeight="1" x14ac:dyDescent="0.3">
      <c r="B19" s="29" t="s">
        <v>323</v>
      </c>
      <c r="C19" s="70">
        <f>6.02*C5+1.76</f>
        <v>98.08</v>
      </c>
      <c r="D19" s="71" t="s">
        <v>324</v>
      </c>
    </row>
  </sheetData>
  <mergeCells count="4">
    <mergeCell ref="B1:E1"/>
    <mergeCell ref="B2:E2"/>
    <mergeCell ref="B4:E4"/>
    <mergeCell ref="B11:E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FIR Design Checklist</vt:lpstr>
      <vt:lpstr>Our FIR Design Values</vt:lpstr>
      <vt:lpstr>Window Type Reference</vt:lpstr>
      <vt:lpstr>Bit Width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KISHAN KALARIYA</cp:lastModifiedBy>
  <cp:revision>0</cp:revision>
  <dcterms:created xsi:type="dcterms:W3CDTF">2026-07-20T11:41:03Z</dcterms:created>
  <dcterms:modified xsi:type="dcterms:W3CDTF">2026-07-20T15:07:59Z</dcterms:modified>
  <dc:language>en-US</dc:language>
</cp:coreProperties>
</file>